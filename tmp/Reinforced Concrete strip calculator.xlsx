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users\nwestern\repos\se-calc\tmp\"/>
    </mc:Choice>
  </mc:AlternateContent>
  <bookViews>
    <workbookView xWindow="-28920" yWindow="-120" windowWidth="29040" windowHeight="15720"/>
  </bookViews>
  <sheets>
    <sheet name="Calculator" sheetId="1" r:id="rId1"/>
    <sheet name="Data" sheetId="2" r:id="rId2"/>
    <sheet name="check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E43" i="1" l="1"/>
  <c r="E81" i="1"/>
  <c r="E80" i="1"/>
  <c r="E79" i="1"/>
  <c r="E78" i="1" l="1"/>
  <c r="E77" i="1"/>
  <c r="E71" i="1"/>
  <c r="E72" i="1"/>
  <c r="E73" i="1"/>
  <c r="E39" i="1"/>
  <c r="E57" i="1"/>
  <c r="E56" i="1"/>
  <c r="E55" i="1"/>
  <c r="E38" i="1"/>
  <c r="E37" i="1"/>
  <c r="E36" i="1"/>
  <c r="E66" i="1"/>
  <c r="E67" i="1" s="1"/>
  <c r="E64" i="1"/>
  <c r="E32" i="1"/>
  <c r="E50" i="1"/>
  <c r="E25" i="3"/>
  <c r="E24" i="3"/>
  <c r="E8" i="3"/>
  <c r="E10" i="3" s="1"/>
  <c r="E33" i="1"/>
  <c r="E14" i="1"/>
  <c r="E17" i="1" s="1"/>
  <c r="E58" i="1" l="1"/>
  <c r="E27" i="3"/>
  <c r="E26" i="3"/>
  <c r="E35" i="1"/>
  <c r="E34" i="1"/>
  <c r="E32" i="3" l="1"/>
  <c r="E31" i="3"/>
  <c r="E34" i="3" s="1"/>
  <c r="E36" i="3" s="1"/>
  <c r="E37" i="3" s="1"/>
  <c r="E45" i="1"/>
  <c r="E44" i="1"/>
  <c r="E46" i="1" s="1"/>
  <c r="E61" i="1" s="1"/>
  <c r="E49" i="1" l="1"/>
  <c r="E51" i="1" s="1"/>
  <c r="E40" i="1"/>
</calcChain>
</file>

<file path=xl/sharedStrings.xml><?xml version="1.0" encoding="utf-8"?>
<sst xmlns="http://schemas.openxmlformats.org/spreadsheetml/2006/main" count="200" uniqueCount="97">
  <si>
    <t>Variable</t>
  </si>
  <si>
    <t>Value</t>
  </si>
  <si>
    <t>Unit</t>
  </si>
  <si>
    <t>Notes</t>
  </si>
  <si>
    <t>Slab or beam</t>
  </si>
  <si>
    <t>Beam</t>
  </si>
  <si>
    <t>Slab type</t>
  </si>
  <si>
    <t>Columns</t>
  </si>
  <si>
    <t>Beam type</t>
  </si>
  <si>
    <t>Simply Supported Beam</t>
  </si>
  <si>
    <t>Depth</t>
  </si>
  <si>
    <t>mm</t>
  </si>
  <si>
    <t>Width</t>
  </si>
  <si>
    <t>Span</t>
  </si>
  <si>
    <t>Distance between lateral supports</t>
  </si>
  <si>
    <t>F'c</t>
  </si>
  <si>
    <t>mPa</t>
  </si>
  <si>
    <t>Ec</t>
  </si>
  <si>
    <t>Es</t>
  </si>
  <si>
    <t>n</t>
  </si>
  <si>
    <t>-</t>
  </si>
  <si>
    <t>As compression</t>
  </si>
  <si>
    <t>mm^2</t>
  </si>
  <si>
    <t>As tension</t>
  </si>
  <si>
    <t>G  UDL</t>
  </si>
  <si>
    <t>kN/m</t>
  </si>
  <si>
    <t>Q UDL</t>
  </si>
  <si>
    <t>Cover compression</t>
  </si>
  <si>
    <t>Cover Tension</t>
  </si>
  <si>
    <t>G Servicability Factor</t>
  </si>
  <si>
    <t>Q short Servicability Factor</t>
  </si>
  <si>
    <t>Q long Servicability Factor</t>
  </si>
  <si>
    <t>G Ultimate Factor</t>
  </si>
  <si>
    <t>Q Ultimate Factor</t>
  </si>
  <si>
    <t>Simple outputs</t>
  </si>
  <si>
    <t>Depth to compression steel</t>
  </si>
  <si>
    <t>Depth to tensile steel</t>
  </si>
  <si>
    <t>Converted Compression Steel</t>
  </si>
  <si>
    <t>Converted Tensile Steel</t>
  </si>
  <si>
    <t>dn quadratic variables</t>
  </si>
  <si>
    <t>a</t>
  </si>
  <si>
    <t>b</t>
  </si>
  <si>
    <t>c</t>
  </si>
  <si>
    <t>dn</t>
  </si>
  <si>
    <t>Kuo</t>
  </si>
  <si>
    <t>Capacity reduction factor, bending</t>
  </si>
  <si>
    <t>Kcs variables</t>
  </si>
  <si>
    <t>Kcs</t>
  </si>
  <si>
    <t>Additional Checks</t>
  </si>
  <si>
    <t>Kuo check</t>
  </si>
  <si>
    <t>Slenderness</t>
  </si>
  <si>
    <t>Slenderness Limit for Continuous and Simply Supported Beams</t>
  </si>
  <si>
    <t xml:space="preserve"> Slenderness Limit for Continuous and Simply Supported Beams Check</t>
  </si>
  <si>
    <t>Slenderness Limit for Cantilever Beams</t>
  </si>
  <si>
    <t>Slenderness Limit for Cantilever Beams Check</t>
  </si>
  <si>
    <t>Minimum Strength</t>
  </si>
  <si>
    <t>Slab on columns</t>
  </si>
  <si>
    <t>Slab on walls or beams</t>
  </si>
  <si>
    <t>Concrete Properties at 28 Days Table 3.1.2 (2018)</t>
  </si>
  <si>
    <t>f'c</t>
  </si>
  <si>
    <t>fcm</t>
  </si>
  <si>
    <t>fcmi</t>
  </si>
  <si>
    <t>Slab</t>
  </si>
  <si>
    <t>Slab support conditions</t>
  </si>
  <si>
    <t>Walls or Beams</t>
  </si>
  <si>
    <t>Continuous Beam</t>
  </si>
  <si>
    <t>Cantilever Beam</t>
  </si>
  <si>
    <t>m</t>
  </si>
  <si>
    <t>Servicability dn quadratic variables</t>
  </si>
  <si>
    <t>Servicability dn</t>
  </si>
  <si>
    <t>γ</t>
  </si>
  <si>
    <r>
      <t>F</t>
    </r>
    <r>
      <rPr>
        <vertAlign val="subscript"/>
        <sz val="11"/>
        <color theme="1"/>
        <rFont val="Univers"/>
        <family val="2"/>
      </rPr>
      <t>c</t>
    </r>
    <r>
      <rPr>
        <sz val="11"/>
        <color theme="1"/>
        <rFont val="Univers"/>
      </rPr>
      <t>'</t>
    </r>
  </si>
  <si>
    <r>
      <t>α</t>
    </r>
    <r>
      <rPr>
        <vertAlign val="subscript"/>
        <sz val="11"/>
        <color theme="1"/>
        <rFont val="Univers"/>
        <family val="2"/>
      </rPr>
      <t>2</t>
    </r>
  </si>
  <si>
    <r>
      <t>f</t>
    </r>
    <r>
      <rPr>
        <vertAlign val="subscript"/>
        <sz val="11"/>
        <color theme="1"/>
        <rFont val="Univers"/>
        <family val="2"/>
      </rPr>
      <t>sy</t>
    </r>
  </si>
  <si>
    <t>Simple Inputs</t>
  </si>
  <si>
    <t>Compressive Steel Force - page 135</t>
  </si>
  <si>
    <t>a (=Cc)</t>
  </si>
  <si>
    <t>b (=Cs-Ct)</t>
  </si>
  <si>
    <t>c (=Cs-Ct)</t>
  </si>
  <si>
    <r>
      <rPr>
        <sz val="11"/>
        <color theme="1"/>
        <rFont val="GreekC"/>
      </rPr>
      <t>ξ</t>
    </r>
    <r>
      <rPr>
        <vertAlign val="subscript"/>
        <sz val="11"/>
        <color theme="1"/>
        <rFont val="Univers"/>
        <family val="2"/>
      </rPr>
      <t>cu</t>
    </r>
  </si>
  <si>
    <t>Ultimate dn</t>
  </si>
  <si>
    <t>N</t>
  </si>
  <si>
    <r>
      <t>f'</t>
    </r>
    <r>
      <rPr>
        <vertAlign val="subscript"/>
        <sz val="11"/>
        <color theme="1"/>
        <rFont val="Univers"/>
        <family val="2"/>
      </rPr>
      <t>ct.f</t>
    </r>
  </si>
  <si>
    <t>kNm</t>
  </si>
  <si>
    <t>depends on Cell E6</t>
  </si>
  <si>
    <t>depends on Cell E6 &amp; E7</t>
  </si>
  <si>
    <t>Force Equilibrium Check</t>
  </si>
  <si>
    <t>Ts</t>
  </si>
  <si>
    <t>Cc</t>
  </si>
  <si>
    <t>Cs</t>
  </si>
  <si>
    <r>
      <rPr>
        <sz val="11"/>
        <color theme="1"/>
        <rFont val="GreekC"/>
      </rPr>
      <t>ξ</t>
    </r>
    <r>
      <rPr>
        <vertAlign val="subscript"/>
        <sz val="11"/>
        <color theme="1"/>
        <rFont val="Univers"/>
        <family val="2"/>
      </rPr>
      <t>sc</t>
    </r>
  </si>
  <si>
    <t>T=C check</t>
  </si>
  <si>
    <t>blue = drop down list</t>
  </si>
  <si>
    <t xml:space="preserve">Purple = calculated value, probably needs to be visible, but not edited. </t>
  </si>
  <si>
    <t xml:space="preserve">Gold = does not need to be seen. </t>
  </si>
  <si>
    <t>Green = fixed values they still need to be visible (they are mandated by the relevant Australian Standard)</t>
  </si>
  <si>
    <t>orange = values to be changed by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</si>
</sst>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6">
    <font>
      <sz val="11"/>
      <color theme="1"/>
      <name val="Calibri"/>
      <family val="2"/>
      <scheme val="minor"/>
    </font>
    <font>
      <sz val="11"/>
      <color theme="1"/>
      <name val="Univers"/>
      <family val="2"/>
    </font>
    <font>
      <sz val="11"/>
      <color theme="1"/>
      <name val="Univers"/>
    </font>
    <font>
      <b/>
      <sz val="11"/>
      <color theme="1"/>
      <name val="Univers"/>
    </font>
    <font>
      <b/>
      <sz val="11"/>
      <color rgb="FF7030A0"/>
      <name val="Univers"/>
    </font>
    <font>
      <b/>
      <sz val="11"/>
      <color rgb="FF0070C0"/>
      <name val="Univers"/>
    </font>
    <font>
      <b/>
      <sz val="11"/>
      <color theme="5"/>
      <name val="Univers"/>
    </font>
    <font>
      <b/>
      <sz val="11"/>
      <color rgb="FF7030A0"/>
      <name val="Calibri"/>
      <family val="2"/>
      <scheme val="minor"/>
    </font>
    <font>
      <b/>
      <sz val="11"/>
      <color theme="1"/>
      <name val="Univers"/>
      <family val="2"/>
    </font>
    <font>
      <sz val="11"/>
      <color theme="1"/>
      <name val="GreekC"/>
    </font>
    <font>
      <vertAlign val="subscript"/>
      <sz val="11"/>
      <color theme="1"/>
      <name val="Univers"/>
      <family val="2"/>
    </font>
    <font>
      <b/>
      <sz val="11"/>
      <color theme="4"/>
      <name val="Univers"/>
      <family val="2"/>
    </font>
    <font>
      <b/>
      <sz val="11"/>
      <color theme="7" tint="-0.249977111117893"/>
      <name val="Univers"/>
      <family val="2"/>
    </font>
    <font>
      <sz val="11"/>
      <color theme="7" tint="-0.249977111117893"/>
      <name val="Univers"/>
      <family val="2"/>
    </font>
    <font>
      <b/>
      <sz val="11"/>
      <color theme="9"/>
      <name val="Univers"/>
      <family val="2"/>
    </font>
    <font>
      <b/>
      <sz val="11"/>
      <color rgb="FF7030A0"/>
      <name val="Univer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48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6" fillId="0" borderId="0" xfId="0" applyFont="1"/>
    <xf numFmtId="1" fontId="4" fillId="0" borderId="0" xfId="0" applyNumberFormat="1" applyFont="1"/>
    <xf numFmtId="0" fontId="7" fillId="0" borderId="0" xfId="0" applyFont="1"/>
    <xf numFmtId="0" fontId="9" fillId="0" borderId="0" xfId="0" applyFont="1"/>
    <xf numFmtId="0" fontId="1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1" fontId="12" fillId="0" borderId="0" xfId="0" applyNumberFormat="1" applyFont="1"/>
    <xf numFmtId="0" fontId="13" fillId="0" borderId="0" xfId="0" applyFont="1"/>
    <xf numFmtId="0" fontId="14" fillId="0" borderId="0" xfId="0" applyFont="1"/>
    <xf numFmtId="48" fontId="14" fillId="0" borderId="0" xfId="0" applyNumberFormat="1" applyFont="1"/>
    <xf numFmtId="1" fontId="14" fillId="0" borderId="0" xfId="0" applyNumberFormat="1" applyFont="1"/>
    <xf numFmtId="164" fontId="12" fillId="0" borderId="0" xfId="0" applyNumberFormat="1" applyFont="1"/>
    <xf numFmtId="1" fontId="15" fillId="0" borderId="0" xfId="0" applyNumberFormat="1" applyFont="1"/>
    <xf numFmtId="0" fontId="15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81"/>
  <sheetViews>
    <sheetView tabSelected="1" topLeftCell="B22" workbookViewId="0">
      <selection activeCell="D33" sqref="D33"/>
    </sheetView>
  </sheetViews>
  <sheetFormatPr defaultColWidth="9.1796875" defaultRowHeight="14"/>
  <cols>
    <col min="1" max="3" width="9.1796875" style="1"/>
    <col min="4" max="4" width="63.90625" style="1" bestFit="1" customWidth="1"/>
    <col min="5" max="5" width="17.453125" style="1" customWidth="1"/>
    <col min="6" max="8" width="9.1796875" style="1"/>
    <col min="9" max="9" width="18.54296875" style="1" customWidth="1"/>
    <col min="10" max="16384" width="9.1796875" style="1"/>
  </cols>
  <sheetData>
    <row r="4" spans="4:9">
      <c r="D4" s="2" t="s">
        <v>0</v>
      </c>
      <c r="E4" s="2" t="s">
        <v>1</v>
      </c>
      <c r="F4" s="2" t="s">
        <v>2</v>
      </c>
      <c r="G4" s="2" t="s">
        <v>3</v>
      </c>
    </row>
    <row r="5" spans="4:9">
      <c r="D5" s="14" t="s">
        <v>74</v>
      </c>
      <c r="E5" s="2"/>
      <c r="F5" s="2"/>
      <c r="G5" s="2"/>
    </row>
    <row r="6" spans="4:9">
      <c r="D6" s="1" t="s">
        <v>4</v>
      </c>
      <c r="E6" s="15" t="s">
        <v>5</v>
      </c>
      <c r="F6" s="2"/>
      <c r="G6" s="2"/>
    </row>
    <row r="7" spans="4:9">
      <c r="D7" s="1" t="s">
        <v>6</v>
      </c>
      <c r="E7" s="15" t="s">
        <v>7</v>
      </c>
      <c r="F7" s="2"/>
      <c r="G7" s="2"/>
    </row>
    <row r="8" spans="4:9">
      <c r="D8" s="1" t="s">
        <v>8</v>
      </c>
      <c r="E8" s="15" t="s">
        <v>9</v>
      </c>
      <c r="F8" s="2"/>
      <c r="G8" s="2"/>
      <c r="I8" s="1" t="s">
        <v>92</v>
      </c>
    </row>
    <row r="9" spans="4:9">
      <c r="D9" s="1" t="s">
        <v>10</v>
      </c>
      <c r="E9" s="9">
        <v>200</v>
      </c>
      <c r="F9" s="1" t="s">
        <v>11</v>
      </c>
      <c r="I9" s="1" t="s">
        <v>93</v>
      </c>
    </row>
    <row r="10" spans="4:9">
      <c r="D10" s="1" t="s">
        <v>12</v>
      </c>
      <c r="E10" s="9">
        <v>1000</v>
      </c>
      <c r="F10" s="1" t="s">
        <v>11</v>
      </c>
      <c r="I10" s="1" t="s">
        <v>94</v>
      </c>
    </row>
    <row r="11" spans="4:9">
      <c r="D11" s="1" t="s">
        <v>13</v>
      </c>
      <c r="E11" s="9">
        <v>5000</v>
      </c>
      <c r="F11" s="1" t="s">
        <v>11</v>
      </c>
      <c r="I11" s="1" t="s">
        <v>95</v>
      </c>
    </row>
    <row r="12" spans="4:9">
      <c r="D12" s="1" t="s">
        <v>14</v>
      </c>
      <c r="E12" s="9">
        <v>0</v>
      </c>
      <c r="F12" s="1" t="s">
        <v>11</v>
      </c>
      <c r="I12" s="1" t="s">
        <v>96</v>
      </c>
    </row>
    <row r="13" spans="4:9" ht="16">
      <c r="D13" s="13" t="s">
        <v>71</v>
      </c>
      <c r="E13" s="9">
        <v>32</v>
      </c>
      <c r="F13" s="1" t="s">
        <v>16</v>
      </c>
    </row>
    <row r="14" spans="4:9">
      <c r="D14" s="1" t="s">
        <v>17</v>
      </c>
      <c r="E14" s="8">
        <f>VLOOKUP(E13,Data!B4:E11,4,FALSE)</f>
        <v>30100</v>
      </c>
      <c r="F14" s="1" t="s">
        <v>16</v>
      </c>
    </row>
    <row r="15" spans="4:9" ht="16">
      <c r="D15" s="13" t="s">
        <v>79</v>
      </c>
      <c r="E15" s="19">
        <v>3.0000000000000001E-3</v>
      </c>
    </row>
    <row r="16" spans="4:9">
      <c r="D16" s="1" t="s">
        <v>18</v>
      </c>
      <c r="E16" s="20">
        <v>200000</v>
      </c>
      <c r="F16" s="1" t="s">
        <v>16</v>
      </c>
    </row>
    <row r="17" spans="4:6">
      <c r="D17" s="1" t="s">
        <v>19</v>
      </c>
      <c r="E17" s="7">
        <f>E16/E14</f>
        <v>6.6445182724252492</v>
      </c>
      <c r="F17" s="1" t="s">
        <v>20</v>
      </c>
    </row>
    <row r="18" spans="4:6" ht="16">
      <c r="D18" s="13" t="s">
        <v>73</v>
      </c>
      <c r="E18" s="21">
        <v>500</v>
      </c>
      <c r="F18" s="13" t="s">
        <v>16</v>
      </c>
    </row>
    <row r="19" spans="4:6">
      <c r="D19" s="1" t="s">
        <v>21</v>
      </c>
      <c r="E19" s="9">
        <v>1005</v>
      </c>
      <c r="F19" s="1" t="s">
        <v>22</v>
      </c>
    </row>
    <row r="20" spans="4:6">
      <c r="D20" s="1" t="s">
        <v>23</v>
      </c>
      <c r="E20" s="9">
        <v>1005</v>
      </c>
      <c r="F20" s="1" t="s">
        <v>22</v>
      </c>
    </row>
    <row r="21" spans="4:6">
      <c r="D21" s="1" t="s">
        <v>24</v>
      </c>
      <c r="E21" s="9">
        <v>10</v>
      </c>
      <c r="F21" s="1" t="s">
        <v>25</v>
      </c>
    </row>
    <row r="22" spans="4:6">
      <c r="D22" s="1" t="s">
        <v>26</v>
      </c>
      <c r="E22" s="9">
        <v>15</v>
      </c>
      <c r="F22" s="1" t="s">
        <v>25</v>
      </c>
    </row>
    <row r="23" spans="4:6">
      <c r="D23" s="1" t="s">
        <v>27</v>
      </c>
      <c r="E23" s="9">
        <v>60</v>
      </c>
      <c r="F23" s="1" t="s">
        <v>11</v>
      </c>
    </row>
    <row r="24" spans="4:6">
      <c r="D24" s="1" t="s">
        <v>28</v>
      </c>
      <c r="E24" s="9">
        <v>60</v>
      </c>
      <c r="F24" s="1" t="s">
        <v>11</v>
      </c>
    </row>
    <row r="25" spans="4:6">
      <c r="D25" s="1" t="s">
        <v>29</v>
      </c>
      <c r="E25" s="9">
        <v>1</v>
      </c>
      <c r="F25" s="1" t="s">
        <v>20</v>
      </c>
    </row>
    <row r="26" spans="4:6">
      <c r="D26" s="1" t="s">
        <v>30</v>
      </c>
      <c r="E26" s="9">
        <v>0.7</v>
      </c>
      <c r="F26" s="1" t="s">
        <v>20</v>
      </c>
    </row>
    <row r="27" spans="4:6">
      <c r="D27" s="1" t="s">
        <v>31</v>
      </c>
      <c r="E27" s="9">
        <v>0.4</v>
      </c>
      <c r="F27" s="1" t="s">
        <v>20</v>
      </c>
    </row>
    <row r="28" spans="4:6">
      <c r="D28" s="1" t="s">
        <v>32</v>
      </c>
      <c r="E28" s="9">
        <v>1.2</v>
      </c>
      <c r="F28" s="1" t="s">
        <v>20</v>
      </c>
    </row>
    <row r="29" spans="4:6">
      <c r="D29" s="1" t="s">
        <v>33</v>
      </c>
      <c r="E29" s="9">
        <v>1.5</v>
      </c>
      <c r="F29" s="1" t="s">
        <v>20</v>
      </c>
    </row>
    <row r="30" spans="4:6">
      <c r="E30" s="2"/>
    </row>
    <row r="31" spans="4:6">
      <c r="D31" s="2" t="s">
        <v>34</v>
      </c>
      <c r="E31" s="2"/>
    </row>
    <row r="32" spans="4:6">
      <c r="D32" s="1" t="s">
        <v>35</v>
      </c>
      <c r="E32" s="5">
        <f>E23</f>
        <v>60</v>
      </c>
      <c r="F32" s="1" t="s">
        <v>11</v>
      </c>
    </row>
    <row r="33" spans="4:6">
      <c r="D33" s="1" t="s">
        <v>36</v>
      </c>
      <c r="E33" s="5">
        <f>E9-E24</f>
        <v>140</v>
      </c>
      <c r="F33" s="1" t="s">
        <v>11</v>
      </c>
    </row>
    <row r="34" spans="4:6">
      <c r="D34" s="1" t="s">
        <v>37</v>
      </c>
      <c r="E34" s="10">
        <f>E19*(E17-1)</f>
        <v>5672.740863787375</v>
      </c>
      <c r="F34" s="1" t="s">
        <v>22</v>
      </c>
    </row>
    <row r="35" spans="4:6">
      <c r="D35" s="1" t="s">
        <v>38</v>
      </c>
      <c r="E35" s="10">
        <f>E20*E17</f>
        <v>6677.740863787375</v>
      </c>
      <c r="F35" s="1" t="s">
        <v>22</v>
      </c>
    </row>
    <row r="36" spans="4:6" ht="16">
      <c r="D36" s="13" t="s">
        <v>82</v>
      </c>
      <c r="E36" s="10">
        <f>0.6*SQRT(E13)</f>
        <v>3.3941125496954281</v>
      </c>
      <c r="F36" s="1" t="s">
        <v>16</v>
      </c>
    </row>
    <row r="37" spans="4:6">
      <c r="D37" s="12" t="s">
        <v>70</v>
      </c>
      <c r="E37" s="7">
        <f>MAX(0.67,0.97-0.0025*E13)</f>
        <v>0.89</v>
      </c>
    </row>
    <row r="38" spans="4:6" ht="16">
      <c r="D38" s="12" t="s">
        <v>72</v>
      </c>
      <c r="E38" s="7">
        <f>MAX(0.67,0.85-0.0015*$E$13)</f>
        <v>0.80199999999999994</v>
      </c>
    </row>
    <row r="39" spans="4:6" ht="14.5">
      <c r="D39" s="1" t="s">
        <v>44</v>
      </c>
      <c r="E39" s="11">
        <f>E58/E33</f>
        <v>0.26900154458329617</v>
      </c>
      <c r="F39" t="s">
        <v>20</v>
      </c>
    </row>
    <row r="40" spans="4:6" ht="14.5">
      <c r="D40" s="1" t="s">
        <v>45</v>
      </c>
      <c r="E40" s="11">
        <f>IF(1.24-13*E39/12&lt;0.65,0.65,IF(1.24-13*E39/12&gt;0.85,0.85,1.24-13*E39/12))</f>
        <v>0.85</v>
      </c>
      <c r="F40" t="s">
        <v>20</v>
      </c>
    </row>
    <row r="42" spans="4:6">
      <c r="D42" s="2" t="s">
        <v>68</v>
      </c>
      <c r="E42" s="18"/>
    </row>
    <row r="43" spans="4:6">
      <c r="D43" s="1" t="s">
        <v>40</v>
      </c>
      <c r="E43" s="16">
        <f>E10/2</f>
        <v>500</v>
      </c>
      <c r="F43" s="1" t="s">
        <v>11</v>
      </c>
    </row>
    <row r="44" spans="4:6">
      <c r="D44" s="1" t="s">
        <v>41</v>
      </c>
      <c r="E44" s="17">
        <f>E34+E35</f>
        <v>12350.48172757475</v>
      </c>
      <c r="F44" s="1" t="s">
        <v>22</v>
      </c>
    </row>
    <row r="45" spans="4:6">
      <c r="D45" s="1" t="s">
        <v>42</v>
      </c>
      <c r="E45" s="17">
        <f>-(E34*E32+E35*E33)</f>
        <v>-1275248.1727574752</v>
      </c>
      <c r="F45" s="1" t="s">
        <v>22</v>
      </c>
    </row>
    <row r="46" spans="4:6">
      <c r="D46" s="14" t="s">
        <v>69</v>
      </c>
      <c r="E46" s="10">
        <f>(-E44+SQRT(E44^2-4*E43*E45))/(2*E43)</f>
        <v>39.640197671891727</v>
      </c>
      <c r="F46" s="1" t="s">
        <v>11</v>
      </c>
    </row>
    <row r="48" spans="4:6">
      <c r="D48" s="2" t="s">
        <v>46</v>
      </c>
      <c r="E48" s="2"/>
    </row>
    <row r="49" spans="4:6">
      <c r="D49" s="1" t="s">
        <v>21</v>
      </c>
      <c r="E49" s="5">
        <f>IF(E46&gt;E32,E19,0)</f>
        <v>0</v>
      </c>
      <c r="F49" s="1" t="s">
        <v>22</v>
      </c>
    </row>
    <row r="50" spans="4:6">
      <c r="D50" s="1" t="s">
        <v>23</v>
      </c>
      <c r="E50" s="5">
        <f>E20</f>
        <v>1005</v>
      </c>
      <c r="F50" s="1" t="s">
        <v>22</v>
      </c>
    </row>
    <row r="51" spans="4:6">
      <c r="D51" s="14" t="s">
        <v>47</v>
      </c>
      <c r="E51" s="5">
        <f>IF(2-1.2*(E49/E50)&gt;0.8,2-1.2*(E49/E50),0.8)</f>
        <v>2</v>
      </c>
    </row>
    <row r="53" spans="4:6">
      <c r="D53" s="13" t="s">
        <v>75</v>
      </c>
    </row>
    <row r="55" spans="4:6">
      <c r="D55" s="13" t="s">
        <v>76</v>
      </c>
      <c r="E55" s="22">
        <f>E37*E10*E38*E13</f>
        <v>22840.959999999999</v>
      </c>
      <c r="F55" s="13" t="s">
        <v>81</v>
      </c>
    </row>
    <row r="56" spans="4:6">
      <c r="D56" s="13" t="s">
        <v>77</v>
      </c>
      <c r="E56" s="17">
        <f>E16*E19*E15-E20*E18</f>
        <v>100500</v>
      </c>
      <c r="F56" s="13" t="s">
        <v>81</v>
      </c>
    </row>
    <row r="57" spans="4:6">
      <c r="D57" s="13" t="s">
        <v>78</v>
      </c>
      <c r="E57" s="17">
        <f>-E16*E19*E15*E32</f>
        <v>-36180000</v>
      </c>
      <c r="F57" s="13" t="s">
        <v>81</v>
      </c>
    </row>
    <row r="58" spans="4:6">
      <c r="D58" s="14" t="s">
        <v>80</v>
      </c>
      <c r="E58" s="10">
        <f>(-E56+SQRT(E56^2-4*E55*E57))/(2*E55)</f>
        <v>37.660216241661466</v>
      </c>
      <c r="F58" s="13" t="s">
        <v>11</v>
      </c>
    </row>
    <row r="59" spans="4:6">
      <c r="D59" s="13"/>
      <c r="F59" s="13"/>
    </row>
    <row r="60" spans="4:6">
      <c r="D60" s="1" t="s">
        <v>48</v>
      </c>
      <c r="E60" s="2"/>
    </row>
    <row r="61" spans="4:6">
      <c r="D61" s="2" t="s">
        <v>49</v>
      </c>
      <c r="E61" s="5" t="str">
        <f>IF(E39&lt;0.36,"PASS","FAIL")</f>
        <v>PASS</v>
      </c>
    </row>
    <row r="62" spans="4:6">
      <c r="E62" s="5"/>
    </row>
    <row r="63" spans="4:6">
      <c r="D63" s="2" t="s">
        <v>50</v>
      </c>
      <c r="E63" s="2"/>
    </row>
    <row r="64" spans="4:6">
      <c r="D64" s="1" t="s">
        <v>51</v>
      </c>
      <c r="E64" s="5">
        <f>MIN(60,180*(E10/E9))</f>
        <v>60</v>
      </c>
    </row>
    <row r="65" spans="4:7">
      <c r="D65" s="1" t="s">
        <v>52</v>
      </c>
      <c r="E65" s="5" t="str">
        <f>IF(E12/E10&lt;E64,"PASS","FAIL")</f>
        <v>PASS</v>
      </c>
    </row>
    <row r="66" spans="4:7">
      <c r="D66" s="1" t="s">
        <v>53</v>
      </c>
      <c r="E66" s="5">
        <f>MIN(25,100*(E10/E9))</f>
        <v>25</v>
      </c>
    </row>
    <row r="67" spans="4:7">
      <c r="D67" s="1" t="s">
        <v>54</v>
      </c>
      <c r="E67" s="5" t="str">
        <f>IF(E12/E10&lt;E66,"PASS","FAIL")</f>
        <v>PASS</v>
      </c>
    </row>
    <row r="68" spans="4:7">
      <c r="E68" s="2"/>
    </row>
    <row r="69" spans="4:7">
      <c r="D69" s="2" t="s">
        <v>55</v>
      </c>
      <c r="E69" s="2"/>
    </row>
    <row r="70" spans="4:7">
      <c r="E70" s="2"/>
    </row>
    <row r="71" spans="4:7">
      <c r="D71" s="1" t="s">
        <v>5</v>
      </c>
      <c r="E71" s="23">
        <f>1.2*(E10*E9^2/6)*E36/10^6</f>
        <v>27.152900397563425</v>
      </c>
      <c r="F71" s="13" t="s">
        <v>83</v>
      </c>
      <c r="G71" s="13" t="s">
        <v>84</v>
      </c>
    </row>
    <row r="72" spans="4:7">
      <c r="D72" s="1" t="s">
        <v>56</v>
      </c>
      <c r="E72" s="24" t="str">
        <f>IF(0.24*(E9/E33)^2*E36/E18&lt;E20/(E33*E10),"OK","FAIL")</f>
        <v>OK</v>
      </c>
      <c r="F72" s="13" t="s">
        <v>20</v>
      </c>
      <c r="G72" s="13" t="s">
        <v>85</v>
      </c>
    </row>
    <row r="73" spans="4:7">
      <c r="D73" s="1" t="s">
        <v>57</v>
      </c>
      <c r="E73" s="24" t="str">
        <f>IF(0.19*(E9/E33)^2*E36/E18&lt;E20/(E33*E10),"OK","FAIL")</f>
        <v>OK</v>
      </c>
      <c r="F73" s="13" t="s">
        <v>20</v>
      </c>
      <c r="G73" s="13" t="s">
        <v>85</v>
      </c>
    </row>
    <row r="74" spans="4:7">
      <c r="E74" s="2"/>
    </row>
    <row r="75" spans="4:7">
      <c r="E75" s="2"/>
    </row>
    <row r="76" spans="4:7">
      <c r="D76" s="13" t="s">
        <v>86</v>
      </c>
      <c r="E76" s="2"/>
    </row>
    <row r="77" spans="4:7">
      <c r="D77" s="13" t="s">
        <v>87</v>
      </c>
      <c r="E77" s="1">
        <f>E20*E18</f>
        <v>502500</v>
      </c>
      <c r="F77" s="13" t="s">
        <v>81</v>
      </c>
    </row>
    <row r="78" spans="4:7">
      <c r="D78" s="13" t="s">
        <v>88</v>
      </c>
      <c r="E78" s="26">
        <f>E37*E58*E10*E38*E13</f>
        <v>860195.49276713992</v>
      </c>
      <c r="F78" s="13" t="s">
        <v>81</v>
      </c>
    </row>
    <row r="79" spans="4:7" ht="16">
      <c r="D79" s="13" t="s">
        <v>90</v>
      </c>
      <c r="E79" s="1">
        <f>E15*(E58-E32)/E58</f>
        <v>-1.77957956600567E-3</v>
      </c>
      <c r="F79" s="13" t="s">
        <v>20</v>
      </c>
    </row>
    <row r="80" spans="4:7">
      <c r="D80" s="13" t="s">
        <v>89</v>
      </c>
      <c r="E80" s="25">
        <f>E79*E16*E19</f>
        <v>-357695.49276713969</v>
      </c>
      <c r="F80" s="13" t="s">
        <v>81</v>
      </c>
    </row>
    <row r="81" spans="4:5">
      <c r="D81" s="13" t="s">
        <v>91</v>
      </c>
      <c r="E81" s="25">
        <f>E77-E78-E80</f>
        <v>0</v>
      </c>
    </row>
  </sheetData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Data!$B$4:$B$11</xm:f>
          </x14:formula1>
          <xm:sqref>E13</xm:sqref>
        </x14:dataValidation>
        <x14:dataValidation type="list" allowBlank="1" showInputMessage="1" showErrorMessage="1">
          <x14:formula1>
            <xm:f>Data!$G$12:$G$14</xm:f>
          </x14:formula1>
          <xm:sqref>E8</xm:sqref>
        </x14:dataValidation>
        <x14:dataValidation type="list" allowBlank="1" showInputMessage="1" showErrorMessage="1">
          <x14:formula1>
            <xm:f>Data!$G$8:$G$9</xm:f>
          </x14:formula1>
          <xm:sqref>E7</xm:sqref>
        </x14:dataValidation>
        <x14:dataValidation type="list" allowBlank="1" showInputMessage="1" showErrorMessage="1">
          <x14:formula1>
            <xm:f>Data!$G$3:$G$4</xm:f>
          </x14:formula1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>
      <selection activeCell="B3" sqref="B3:E3"/>
    </sheetView>
  </sheetViews>
  <sheetFormatPr defaultColWidth="9.1796875" defaultRowHeight="14"/>
  <cols>
    <col min="1" max="4" width="9.1796875" style="1"/>
    <col min="5" max="5" width="7.1796875" style="1" bestFit="1" customWidth="1"/>
    <col min="6" max="16384" width="9.1796875" style="1"/>
  </cols>
  <sheetData>
    <row r="2" spans="2:10">
      <c r="B2" s="27" t="s">
        <v>58</v>
      </c>
      <c r="C2" s="27"/>
      <c r="D2" s="27"/>
      <c r="E2" s="27"/>
      <c r="F2" s="2"/>
      <c r="G2" s="2" t="s">
        <v>4</v>
      </c>
      <c r="H2" s="2"/>
      <c r="I2" s="2"/>
      <c r="J2" s="2"/>
    </row>
    <row r="3" spans="2:10">
      <c r="B3" s="3" t="s">
        <v>59</v>
      </c>
      <c r="C3" s="3" t="s">
        <v>60</v>
      </c>
      <c r="D3" s="3" t="s">
        <v>61</v>
      </c>
      <c r="E3" s="3" t="s">
        <v>17</v>
      </c>
      <c r="G3" s="1" t="s">
        <v>62</v>
      </c>
    </row>
    <row r="4" spans="2:10">
      <c r="B4" s="4">
        <v>20</v>
      </c>
      <c r="C4" s="4">
        <v>25</v>
      </c>
      <c r="D4" s="4">
        <v>22</v>
      </c>
      <c r="E4" s="4">
        <v>24000</v>
      </c>
      <c r="G4" s="1" t="s">
        <v>5</v>
      </c>
    </row>
    <row r="5" spans="2:10">
      <c r="B5" s="4">
        <v>25</v>
      </c>
      <c r="C5" s="4">
        <v>31</v>
      </c>
      <c r="D5" s="4">
        <v>28</v>
      </c>
      <c r="E5" s="4">
        <v>26700</v>
      </c>
    </row>
    <row r="6" spans="2:10">
      <c r="B6" s="4">
        <v>32</v>
      </c>
      <c r="C6" s="4">
        <v>39</v>
      </c>
      <c r="D6" s="4">
        <v>35</v>
      </c>
      <c r="E6" s="4">
        <v>30100</v>
      </c>
    </row>
    <row r="7" spans="2:10">
      <c r="B7" s="4">
        <v>40</v>
      </c>
      <c r="C7" s="4">
        <v>48</v>
      </c>
      <c r="D7" s="4">
        <v>43</v>
      </c>
      <c r="E7" s="4">
        <v>32800</v>
      </c>
      <c r="G7" s="2" t="s">
        <v>63</v>
      </c>
    </row>
    <row r="8" spans="2:10">
      <c r="B8" s="4">
        <v>50</v>
      </c>
      <c r="C8" s="4">
        <v>59</v>
      </c>
      <c r="D8" s="4">
        <v>53</v>
      </c>
      <c r="E8" s="4">
        <v>34800</v>
      </c>
      <c r="G8" s="1" t="s">
        <v>7</v>
      </c>
    </row>
    <row r="9" spans="2:10">
      <c r="B9" s="4">
        <v>65</v>
      </c>
      <c r="C9" s="4">
        <v>75</v>
      </c>
      <c r="D9" s="4">
        <v>68</v>
      </c>
      <c r="E9" s="4">
        <v>37400</v>
      </c>
      <c r="G9" s="1" t="s">
        <v>64</v>
      </c>
    </row>
    <row r="10" spans="2:10">
      <c r="B10" s="4">
        <v>80</v>
      </c>
      <c r="C10" s="4">
        <v>91</v>
      </c>
      <c r="D10" s="4">
        <v>82</v>
      </c>
      <c r="E10" s="4">
        <v>39600</v>
      </c>
    </row>
    <row r="11" spans="2:10">
      <c r="B11" s="4">
        <v>100</v>
      </c>
      <c r="C11" s="4">
        <v>110</v>
      </c>
      <c r="D11" s="4">
        <v>99</v>
      </c>
      <c r="E11" s="4">
        <v>42200</v>
      </c>
      <c r="G11" s="2" t="s">
        <v>8</v>
      </c>
    </row>
    <row r="12" spans="2:10">
      <c r="G12" s="1" t="s">
        <v>9</v>
      </c>
    </row>
    <row r="13" spans="2:10">
      <c r="G13" s="1" t="s">
        <v>65</v>
      </c>
    </row>
    <row r="14" spans="2:10">
      <c r="G14" s="1" t="s">
        <v>66</v>
      </c>
    </row>
  </sheetData>
  <mergeCells count="1">
    <mergeCell ref="B2:E2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G38"/>
  <sheetViews>
    <sheetView workbookViewId="0">
      <selection activeCell="D43" sqref="D43"/>
    </sheetView>
  </sheetViews>
  <sheetFormatPr defaultRowHeight="14.5"/>
  <cols>
    <col min="4" max="4" width="32" bestFit="1" customWidth="1"/>
    <col min="5" max="5" width="10.26953125" bestFit="1" customWidth="1"/>
  </cols>
  <sheetData>
    <row r="4" spans="4:7">
      <c r="D4" s="2" t="s">
        <v>0</v>
      </c>
      <c r="E4" s="2" t="s">
        <v>1</v>
      </c>
      <c r="F4" s="2" t="s">
        <v>2</v>
      </c>
      <c r="G4" s="2" t="s">
        <v>3</v>
      </c>
    </row>
    <row r="5" spans="4:7">
      <c r="D5" s="1" t="s">
        <v>10</v>
      </c>
      <c r="E5" s="9">
        <v>450</v>
      </c>
      <c r="F5" s="1" t="s">
        <v>67</v>
      </c>
      <c r="G5" s="1"/>
    </row>
    <row r="6" spans="4:7">
      <c r="D6" s="1" t="s">
        <v>13</v>
      </c>
      <c r="E6" s="9">
        <v>5</v>
      </c>
      <c r="F6" s="1" t="s">
        <v>67</v>
      </c>
      <c r="G6" s="1"/>
    </row>
    <row r="7" spans="4:7">
      <c r="D7" s="1" t="s">
        <v>15</v>
      </c>
      <c r="E7" s="9">
        <v>32</v>
      </c>
      <c r="F7" s="1" t="s">
        <v>16</v>
      </c>
      <c r="G7" s="1"/>
    </row>
    <row r="8" spans="4:7">
      <c r="D8" s="1" t="s">
        <v>17</v>
      </c>
      <c r="E8" s="8">
        <f>VLOOKUP(E7,Data!B4:E11,4,FALSE)</f>
        <v>30100</v>
      </c>
      <c r="F8" s="1" t="s">
        <v>16</v>
      </c>
      <c r="G8" s="1"/>
    </row>
    <row r="9" spans="4:7">
      <c r="D9" s="1" t="s">
        <v>18</v>
      </c>
      <c r="E9" s="6">
        <v>200000</v>
      </c>
      <c r="F9" s="1" t="s">
        <v>16</v>
      </c>
      <c r="G9" s="1"/>
    </row>
    <row r="10" spans="4:7">
      <c r="D10" s="1" t="s">
        <v>19</v>
      </c>
      <c r="E10" s="7">
        <f>E9/E8</f>
        <v>6.6445182724252492</v>
      </c>
      <c r="F10" s="1" t="s">
        <v>20</v>
      </c>
      <c r="G10" s="1"/>
    </row>
    <row r="11" spans="4:7">
      <c r="D11" s="1" t="s">
        <v>21</v>
      </c>
      <c r="E11" s="9">
        <v>900</v>
      </c>
      <c r="F11" s="1" t="s">
        <v>22</v>
      </c>
      <c r="G11" s="1"/>
    </row>
    <row r="12" spans="4:7">
      <c r="D12" s="1" t="s">
        <v>23</v>
      </c>
      <c r="E12" s="9">
        <v>1800</v>
      </c>
      <c r="F12" s="1" t="s">
        <v>22</v>
      </c>
      <c r="G12" s="1"/>
    </row>
    <row r="13" spans="4:7">
      <c r="D13" s="1" t="s">
        <v>24</v>
      </c>
      <c r="E13" s="9">
        <v>10</v>
      </c>
      <c r="F13" s="1" t="s">
        <v>25</v>
      </c>
      <c r="G13" s="1"/>
    </row>
    <row r="14" spans="4:7">
      <c r="D14" s="1" t="s">
        <v>26</v>
      </c>
      <c r="E14" s="9">
        <v>15</v>
      </c>
      <c r="F14" s="1" t="s">
        <v>25</v>
      </c>
      <c r="G14" s="1"/>
    </row>
    <row r="15" spans="4:7">
      <c r="D15" s="1" t="s">
        <v>27</v>
      </c>
      <c r="E15" s="9">
        <v>60</v>
      </c>
      <c r="F15" s="1" t="s">
        <v>11</v>
      </c>
      <c r="G15" s="1"/>
    </row>
    <row r="16" spans="4:7">
      <c r="D16" s="1" t="s">
        <v>28</v>
      </c>
      <c r="E16" s="9">
        <v>60</v>
      </c>
      <c r="F16" s="1" t="s">
        <v>11</v>
      </c>
      <c r="G16" s="1"/>
    </row>
    <row r="17" spans="4:7">
      <c r="D17" s="1" t="s">
        <v>29</v>
      </c>
      <c r="E17" s="9">
        <v>1</v>
      </c>
      <c r="F17" s="1" t="s">
        <v>20</v>
      </c>
      <c r="G17" s="1"/>
    </row>
    <row r="18" spans="4:7">
      <c r="D18" s="1" t="s">
        <v>30</v>
      </c>
      <c r="E18" s="9">
        <v>0.7</v>
      </c>
      <c r="F18" s="1" t="s">
        <v>20</v>
      </c>
      <c r="G18" s="1"/>
    </row>
    <row r="19" spans="4:7">
      <c r="D19" s="1" t="s">
        <v>31</v>
      </c>
      <c r="E19" s="9">
        <v>0.4</v>
      </c>
      <c r="F19" s="1" t="s">
        <v>20</v>
      </c>
      <c r="G19" s="1"/>
    </row>
    <row r="20" spans="4:7">
      <c r="D20" s="1" t="s">
        <v>32</v>
      </c>
      <c r="E20" s="9">
        <v>1.2</v>
      </c>
      <c r="F20" s="1" t="s">
        <v>20</v>
      </c>
      <c r="G20" s="1"/>
    </row>
    <row r="21" spans="4:7">
      <c r="D21" s="1" t="s">
        <v>33</v>
      </c>
      <c r="E21" s="9">
        <v>1.5</v>
      </c>
      <c r="F21" s="1" t="s">
        <v>20</v>
      </c>
      <c r="G21" s="1"/>
    </row>
    <row r="22" spans="4:7">
      <c r="D22" s="1"/>
      <c r="E22" s="2"/>
      <c r="F22" s="1"/>
      <c r="G22" s="1"/>
    </row>
    <row r="23" spans="4:7">
      <c r="D23" s="2" t="s">
        <v>34</v>
      </c>
      <c r="E23" s="2"/>
      <c r="F23" s="1"/>
      <c r="G23" s="1"/>
    </row>
    <row r="24" spans="4:7">
      <c r="D24" s="1" t="s">
        <v>35</v>
      </c>
      <c r="E24" s="5">
        <f>E15</f>
        <v>60</v>
      </c>
      <c r="F24" s="1" t="s">
        <v>11</v>
      </c>
      <c r="G24" s="1"/>
    </row>
    <row r="25" spans="4:7">
      <c r="D25" s="1" t="s">
        <v>36</v>
      </c>
      <c r="E25" s="5">
        <f>E5-E16</f>
        <v>390</v>
      </c>
      <c r="F25" s="1" t="s">
        <v>11</v>
      </c>
      <c r="G25" s="1"/>
    </row>
    <row r="26" spans="4:7">
      <c r="D26" s="1" t="s">
        <v>37</v>
      </c>
      <c r="E26" s="10">
        <f>E11*(E10-1)</f>
        <v>5080.0664451827242</v>
      </c>
      <c r="F26" s="1" t="s">
        <v>22</v>
      </c>
      <c r="G26" s="1"/>
    </row>
    <row r="27" spans="4:7">
      <c r="D27" s="1" t="s">
        <v>38</v>
      </c>
      <c r="E27" s="10">
        <f>E12*E10</f>
        <v>11960.132890365448</v>
      </c>
      <c r="F27" s="1" t="s">
        <v>22</v>
      </c>
      <c r="G27" s="1"/>
    </row>
    <row r="28" spans="4:7">
      <c r="D28" s="1"/>
      <c r="E28" s="5"/>
      <c r="F28" s="1"/>
      <c r="G28" s="1"/>
    </row>
    <row r="29" spans="4:7">
      <c r="D29" s="2" t="s">
        <v>39</v>
      </c>
      <c r="E29" s="5"/>
      <c r="F29" s="1"/>
      <c r="G29" s="1"/>
    </row>
    <row r="30" spans="4:7">
      <c r="D30" s="1" t="s">
        <v>40</v>
      </c>
      <c r="E30" s="5">
        <v>150</v>
      </c>
      <c r="F30" s="1" t="s">
        <v>11</v>
      </c>
      <c r="G30" s="1"/>
    </row>
    <row r="31" spans="4:7">
      <c r="D31" s="1" t="s">
        <v>41</v>
      </c>
      <c r="E31" s="10">
        <f>E26+E27</f>
        <v>17040.199335548172</v>
      </c>
      <c r="F31" s="1" t="s">
        <v>22</v>
      </c>
      <c r="G31" s="1"/>
    </row>
    <row r="32" spans="4:7">
      <c r="D32" s="1" t="s">
        <v>42</v>
      </c>
      <c r="E32" s="10">
        <f>-(E26*E24+E27*E25)</f>
        <v>-4969255.8139534891</v>
      </c>
      <c r="F32" s="1" t="s">
        <v>22</v>
      </c>
      <c r="G32" s="1"/>
    </row>
    <row r="33" spans="4:7">
      <c r="D33" s="1"/>
      <c r="E33" s="5"/>
      <c r="F33" s="1"/>
      <c r="G33" s="1"/>
    </row>
    <row r="34" spans="4:7">
      <c r="D34" s="1" t="s">
        <v>43</v>
      </c>
      <c r="E34" s="10">
        <f>(-E31+SQRT(E31^2-4*E30*E32))/(2*E30)</f>
        <v>133.86838803229335</v>
      </c>
      <c r="F34" s="1" t="s">
        <v>11</v>
      </c>
      <c r="G34" s="1"/>
    </row>
    <row r="35" spans="4:7">
      <c r="D35" s="1"/>
      <c r="E35" s="5"/>
      <c r="F35" s="1"/>
      <c r="G35" s="1"/>
    </row>
    <row r="36" spans="4:7">
      <c r="D36" t="s">
        <v>44</v>
      </c>
      <c r="E36" s="11">
        <f>E34/E25</f>
        <v>0.3432522770058804</v>
      </c>
      <c r="F36" t="s">
        <v>20</v>
      </c>
    </row>
    <row r="37" spans="4:7">
      <c r="D37" t="s">
        <v>45</v>
      </c>
      <c r="E37" s="11">
        <f>IF(1.24-13*E36/12&lt;0.65,0.65,IF(1.24-13*E36/12&gt;0.85,0.85,1.24-13*E36/12))</f>
        <v>0.85</v>
      </c>
      <c r="F37" t="s">
        <v>20</v>
      </c>
    </row>
    <row r="38" spans="4:7">
      <c r="E38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Data!$B$4:$B$11</xm:f>
          </x14:formula1>
          <xm:sqref>E7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Data</vt:lpstr>
      <vt:lpstr>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Angus Hamilton</dc:creator>
  <cp:keywords/>
  <dc:description/>
  <cp:lastModifiedBy>Ned Western</cp:lastModifiedBy>
  <cp:revision/>
  <dcterms:created xsi:type="dcterms:W3CDTF">2026-01-06T02:35:54Z</dcterms:created>
  <dcterms:modified xsi:type="dcterms:W3CDTF">2026-01-11T07:00:50Z</dcterms:modified>
  <cp:category/>
  <cp:contentStatus/>
</cp:coreProperties>
</file>